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>
    <mc:Choice Requires="x15">
      <x15ac:absPath xmlns:x15ac="http://schemas.microsoft.com/office/spreadsheetml/2010/11/ac" url="D:\TEST_full_scripts_2020\i-Pulse\TEST_full_scripts_xls\"/>
    </mc:Choice>
  </mc:AlternateContent>
  <xr:revisionPtr revIDLastSave="0" documentId="13_ncr:1_{B94CBA28-E15D-449B-B844-A98D09FABFEB}" xr6:coauthVersionLast="46" xr6:coauthVersionMax="46" xr10:uidLastSave="{00000000-0000-0000-0000-000000000000}"/>
  <bookViews>
    <workbookView xWindow="-120" yWindow="-120" windowWidth="29040" windowHeight="15840" tabRatio="623" activeTab="2" xr2:uid="{00000000-000D-0000-FFFF-FFFF00000000}"/>
  </bookViews>
  <sheets>
    <sheet name="Test Cases" sheetId="1" r:id="rId1"/>
    <sheet name="Proposal_Won" sheetId="2" r:id="rId2"/>
    <sheet name="Proposal_Lost" sheetId="4" r:id="rId3"/>
    <sheet name="Proposal_RequoteWon" sheetId="5" r:id="rId4"/>
    <sheet name="Proposal_Won_Acetic_Acid" sheetId="6" r:id="rId5"/>
    <sheet name="Proposal_VerifyBillRate" sheetId="8" r:id="rId6"/>
    <sheet name="Create_WO_from_Proposal" sheetId="9" r:id="rId7"/>
    <sheet name="Sheet1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<sst xmlns="http://schemas.openxmlformats.org/spreadsheetml/2006/main" count="555" uniqueCount="126">
  <si>
    <t>S.No.</t>
  </si>
  <si>
    <t>TCID</t>
  </si>
  <si>
    <t>Description</t>
  </si>
  <si>
    <t>Runmode</t>
  </si>
  <si>
    <t>Results</t>
  </si>
  <si>
    <t>Y</t>
  </si>
  <si>
    <t>Client</t>
  </si>
  <si>
    <t>Scope</t>
  </si>
  <si>
    <t>Yes</t>
  </si>
  <si>
    <t>Financial_Program</t>
  </si>
  <si>
    <t>Product_Type</t>
  </si>
  <si>
    <t>TAT_time_days</t>
  </si>
  <si>
    <t>22490</t>
  </si>
  <si>
    <t>0025-Recreational Products</t>
  </si>
  <si>
    <t>Test</t>
  </si>
  <si>
    <t>30</t>
  </si>
  <si>
    <t>Won</t>
  </si>
  <si>
    <t>Empty_laterUse</t>
  </si>
  <si>
    <t>Change_status</t>
  </si>
  <si>
    <t>Valves - 14</t>
  </si>
  <si>
    <t>Radio_Button_Choices</t>
  </si>
  <si>
    <t>No,Yes</t>
  </si>
  <si>
    <t>3</t>
  </si>
  <si>
    <t>Same_Answers_To_All</t>
  </si>
  <si>
    <t>Send Active Quote to Customer</t>
  </si>
  <si>
    <t>Email_Template</t>
  </si>
  <si>
    <t>To_emailCorrespondence</t>
  </si>
  <si>
    <t>BU_Manager_Code</t>
  </si>
  <si>
    <t>DocTab_AddPropDoc_FileName</t>
  </si>
  <si>
    <t>Type</t>
  </si>
  <si>
    <t>Access</t>
  </si>
  <si>
    <t>QUOTE ACCEPTANCE</t>
  </si>
  <si>
    <t>Internal access</t>
  </si>
  <si>
    <t>This is test pdf document.pdf</t>
  </si>
  <si>
    <t>Proposal_Won</t>
  </si>
  <si>
    <t xml:space="preserve"> BS-01</t>
  </si>
  <si>
    <t>No,No</t>
  </si>
  <si>
    <t>3,4,5,6,7,8</t>
  </si>
  <si>
    <t xml:space="preserve"> BS-02</t>
  </si>
  <si>
    <t>Proposal_Lost</t>
  </si>
  <si>
    <t>Lost</t>
  </si>
  <si>
    <t>Proposal_RequoteWon</t>
  </si>
  <si>
    <t xml:space="preserve"> BS-03</t>
  </si>
  <si>
    <t>ReQuote,Won</t>
  </si>
  <si>
    <t>Status_Change_Reason</t>
  </si>
  <si>
    <t>Automation Test using Selenium</t>
  </si>
  <si>
    <t>Radio_Button_Rechoices</t>
  </si>
  <si>
    <t>Re_Answers_To_All</t>
  </si>
  <si>
    <t xml:space="preserve">,,,8,8, </t>
  </si>
  <si>
    <t>5</t>
  </si>
  <si>
    <t>6</t>
  </si>
  <si>
    <t>7</t>
  </si>
  <si>
    <t>N</t>
  </si>
  <si>
    <t>Billing_schedule</t>
  </si>
  <si>
    <t>Rush_Fees</t>
  </si>
  <si>
    <t>Discount_Percent</t>
  </si>
  <si>
    <t>Discount_Reason</t>
  </si>
  <si>
    <t>20</t>
  </si>
  <si>
    <t>Discount_Test_Reason</t>
  </si>
  <si>
    <t>SKIP</t>
  </si>
  <si>
    <t xml:space="preserve"> BS-04</t>
  </si>
  <si>
    <t>Proposal_Won_Acetic_Acid</t>
  </si>
  <si>
    <t>0045-Media &amp; Treatment Chemicals</t>
  </si>
  <si>
    <t>Work_Order_Type</t>
  </si>
  <si>
    <t>Existing Client-New Product or Facility-No Bracketing</t>
  </si>
  <si>
    <t>QuestionNAnswerSets</t>
  </si>
  <si>
    <t>Outputs</t>
  </si>
  <si>
    <t xml:space="preserve">[(A1,1,List,1):(A2,60,List,2):(A7,1,List,3):(A9,US &amp; Canada,List,4):(A10,No,Radio,1)]
::[(B1,No,Radio,1):(B1A,5,List,1):(B2,Acetic Acid,List,2):(B3,1,List,3):(B4,Sodium Hypochlorite,List,4):(B5,2,List,5):(B6,Aluminum Sodium Sulfate,List,6):(B7,1,List,7):(B8,Potassium Carbonate,List,8):(B9,1,List,9):(B10,Calcium Hydroxide,List,10):(B11,1,List,11):(B12,Yes,Radio,2):(B13,No,Radio,3):(B14,No,Radio,4):(B15,0,List,12):(B15A,0,List,13):(B52,0,List,14)]
::[(C2,chemical,List,1):(C3,No,Radio,1):(C4,5,TextBox,1):(C5,0,TextBox,2):(C6,6,TextBox,3)]
</t>
  </si>
  <si>
    <t>Questionnaire --&gt;QuestNo,Answer
Output--&gt;Task Description,Bill Code,Qty</t>
  </si>
  <si>
    <t xml:space="preserve">[(A1A,No):(A1B,Yes):(A200,No):(A1,1):(A2,60):(A7,1):(A9,Mexico):(A10,No)]
::[(B1,No):(B1A,1):(B2,Aluminum Hydroxychloride):(B3,1):(B12,No):(B13,No):(B13a,No):(B152,No):(B15A,0):(B52,0)]
::[(C2,chemical):(C3,No):(C4,1):(C5,0):(C6,1)]
</t>
  </si>
  <si>
    <t xml:space="preserve">[(A1A,Yes):(A1,1):(A2,60):(A7,1):(A9,Mexico):(A10,No)]
::[(B1,No):(B1A,1):(B2,Acetic Acid):(B3,1):(B12,No):(B13,No):(B13a,No):(B152,Yes):(B153,2):(B15A,0):(B52,0)]
::[(C2,chemical):(C3,No):(C4,2):(C5,0):(C6,2)]
</t>
  </si>
  <si>
    <t>(Audit 1,AMEX,1):
(Cert Decision,LA6,1.0):(Cert Decision,PPS3,0.5):(Cert Decision,PPS2,1):(Scope Validation,PPS3,0.5):(Sample Selection,MCT3,1.0):
(Chemical Extraction 1,A20,1):(Chemical Extraction 1,TOX60QUALEVAL,1)</t>
  </si>
  <si>
    <t>(Audit 1,AMEX,1):
(Cert Decision,LA3,1.0):(Cert Decision,PPS3,0.5):(Cert Decision,PPS2,1.5):(Scope Validation,PPS3,0.5):(Scope Validation,PPS2,0.5):(Sample Selection,MCT3,2.0):
(Chemical Extraction 1,A30,1):(Chemical Extraction 1,TOX60QUALEVAL,1):(Chemical Extraction 26,AROD,1):(Chemical Extraction 26,TOX60QUALEVAL,1)</t>
  </si>
  <si>
    <t xml:space="preserve">[(A1A,No):(A1B,No):(A1C,2):(A200,No):(A1,1):(A2,60):(A7,2):(A9,US &amp; Canada):(A10,No):(A11,US &amp; Canada):(A12,No):(A125,Yes)]
::[(B1,No):(B1A,1):(B2,Calcium Carbonate):(B3,1):(B12,No):(B13,No):(B13a,Yes):(B14,Yes):(B15,0):(B151,1):(B152,No):(B15A,0):(B52,0)]
::[(C2,chemical):(C3,No):(C4,3):(C5,0):(C6,3)]
</t>
  </si>
  <si>
    <t>From_emailCorrespondence</t>
  </si>
  <si>
    <t>testscriptuser@nsf.org</t>
  </si>
  <si>
    <t>S_No</t>
  </si>
  <si>
    <t xml:space="preserve"> BS-05</t>
  </si>
  <si>
    <t>Proposal_VerifyBillRate</t>
  </si>
  <si>
    <t>[(Q1,6):(Q2,4):(Q3,No):(Q5,5):(Q6,No):(Q8,8):(Q9,9):(Q10,10)]</t>
  </si>
  <si>
    <t>(Supplier Form, SNIP,9):
(Performance Testing 1,P6001,6):(Performance Testing 1,P6029,6):(Performance Testing 1,P0003,1):(Performance Testing 1,P6000,1):(Performance Testing 1,P6009,1):
(Performance Testing 3,P6001,6):(Performance Testing 3,P6029,6)</t>
  </si>
  <si>
    <t>Chemicals - Drinking Water Treatment - 60</t>
  </si>
  <si>
    <t>M7890224</t>
  </si>
  <si>
    <t>2015</t>
  </si>
  <si>
    <t>ProgCode</t>
  </si>
  <si>
    <t>0045</t>
  </si>
  <si>
    <t><![CDATA[(Audit 1,ANA,1):(Audit 2,ANB,1):
(Cert Decision,LA3,2.0):(Cert Decision,PPS3,0.5):(Cert Decision,PPS2,2):(Scope Validation,PPS3,0.5):(Scope Validation,PPS2,1):(Sample Selection,MCT3,3):
(Chemical Extraction & MGP 3,AWPS,1):(Chemical Extraction & MGP 3,M0005,1):(Chemical Extraction & MGP 3,TOX60QUALEVAL,1):
(Chemical Extraction 1,A120,1):(Chemical Extraction 1,TOX60QUALEVAL,1):
(Chemical Extraction & MGP 1,A70,1):(Chemical Extraction & MGP 1,M0005,1):(Chemical Extraction & MGP 1,TOX60QUALEVAL,1)]]></t>
  </si>
  <si>
    <t>Last_Execution</t>
  </si>
  <si>
    <t>Last_Successful_Execution</t>
  </si>
  <si>
    <t xml:space="preserve">[(A1A,No):(A1B,No):(A1C,1):(A200,No):(A1,0):(A7,0)]
::[(B1,Yes):(B1A,0):(B13,No):(B13a,No):(B152,Yes):(B153,1):(B15A,1):(B16,Sodium Hydroxide):(B17,1):(B52,0)]
::[(C2,chemical):(C3,Yes):(C4,3):(C5,0):(C6,3)]
</t>
  </si>
  <si>
    <t>(Cert Decision,PPS2,2.5):(Scope Validation,PPS2,1.5):(Sample Selection,MCT3,3):
(Chemical Extraction 26,AROD,1):(Chemical Extraction 26,TOX60QUALEVAL,1):(Chemical Extraction 7,A620,1):(Chemical Extraction 7,TOX60QUALEVAL,1)</t>
  </si>
  <si>
    <t xml:space="preserve">[(A1A,Yes):(A1,1):(A2,60):(A7,1):(A9,South America):(A10,No]
::[(B1,No):(B1A,5):(B2,Acetic Acid):(B3,1):(B4,Aluminum Sulfate):(B5,1):(B6,Citric Acid):(B7,1):(B8,Calcium Oxide):(B9,1):(B10,Calcium Hydroxide):(B11,1):(B12,Yes):(B13,No):(B13a,No):(B152,No):(B15A,0):(B52,0)]
::[(C2,chemical):(C3,No):(C4,5):(C5,0):(C6,5)]
</t>
  </si>
  <si>
    <t>(Audit 1,ASA,1):
(Cert Decision,PPS3,0.5):(Cert Decision,PPS2,3):(Cert Decision,LA3,1.0):(Scope Validation,PPS2,2):(Scope Validation,PPS3,0.5):(Sample Selection,MCT3,5):
(Chemical Extraction 2,A30REC,1):(Chemical Extraction 2,TOX60QUALEVAL,1):(Chemical Extraction 1,A30,1):(Chemical Extraction 1,TOX60QUALEVAL,1):
(Chemical Extraction 5,A140,1):(Chemical Extraction 5,TOX60QUALEVAL,1):(Chemical Extraction 4,A160,1):(Chemical Extraction 4,TOX60QUALEVAL,1):
(Chemical Extraction 3,A195,1):(Chemical Extraction 3,TOX60QUALEVAL,1):</t>
  </si>
  <si>
    <t>Annual_Cost</t>
  </si>
  <si>
    <t>1000</t>
  </si>
  <si>
    <t>PASS</t>
  </si>
  <si>
    <t xml:space="preserve"> 22-05-2015---- 03:00:17 AM</t>
  </si>
  <si>
    <t>Prospect_from_Sales_Force</t>
  </si>
  <si>
    <t>New Client-New Product</t>
  </si>
  <si>
    <t>OrgUnit</t>
  </si>
  <si>
    <t>ORGU0045 - Treatment Chemicals and Media</t>
  </si>
  <si>
    <t xml:space="preserve">[(LQ1A,New facilities):(LQ1B,1):(LQ1,1):(LQ2 ,60):(LQ7,1):(LQ9 ,US and Canada):(LQ10,Yes)]
::[(B1,):(B1A,1):(B2,Aluminum Hydroxychloride):(B3,1):(B12,No):(B13,No):(B13a,No):(B152,No):(B15A,0):(B52,0)]
::[(C2,chemical):(C3,No):(C4,1):(C5,0):(C6,1)]
</t>
  </si>
  <si>
    <t xml:space="preserve">[(LQ1A,New facilities):(LQ1B,1):(LQ1,1):(LQ2 ,60):(LQ7,1):(LQ9 ,US and Canada):(LQ10,Yes)]
::[(B0,Yes; I confirm.):(B1,Yes):(B1A,1):(B2,Aluminum Hydroxychloride):(B3,1):(B12,No):(B13,No):(B13a,No):(B152,No):(B15A,0):(B52,0)]
</t>
  </si>
  <si>
    <t>Internal access,Internal access,Internal access</t>
  </si>
  <si>
    <t>This is test pdf document_1.pdf,This is test pdf document_2.pdf,This is test pdf document_3.pdf</t>
  </si>
  <si>
    <t>(CLAPPRVW,PPS2,1):
(CBREVW,LA3,1.0):(SMPSEL,PPS2,1.0):(SMPSE,MCT3,1):
(TESTING,TOX60QUALEVAL,1):(TESTING 1,A20,1)</t>
  </si>
  <si>
    <t>(Audit 1,ASA,1):
(Cert Decision,PPS3,0.5):(Cert Decision,PPS2,3):(Cert Decision,LA3,1.0):(Scope Validation,PPS2,2):(Scope Validation,PPS3,0.5):(Sample Selection,MCT3,5):
(Chemical Extraction 2,A30REC,1):(Chemical Extraction 2,TOX60QUALEVAL,1):(Chemical Extraction 1,A30,1):(Chemical Extraction 1,TOX60QUALEVAL,1):
(Chemical Extraction 5,A140,1):(Chemical Extraction 5,TOX60QUALEVAL,1):(Chemical Extraction 4,A160,1):(Chemical Extraction 4,TOX60QUALEVAL,1):
(Chemical Extraction 3,A195,1):(Chemical Extraction 3,TOX60QUALEVAL,1)</t>
  </si>
  <si>
    <t>(Client App Review,PPS2,1):
(Cert Decision,LA3,1.0):
(Sample Selection,PPS2,1.0):(Sample Selection,MCT3,1):
(Chemical Extraction 1,TOX60QUALEVAL,1):(Chemical Extraction 1,A20,1)</t>
  </si>
  <si>
    <t xml:space="preserve"> 20-06-2016---- 10:52:31 AM</t>
  </si>
  <si>
    <t>Standard_Version</t>
  </si>
  <si>
    <t>QUOTE ACCEPTANCE,Terms and Conditions,Client Information Form</t>
  </si>
  <si>
    <t xml:space="preserve"> 10-17-2017---- 01:52:52 PM</t>
  </si>
  <si>
    <t>FAIL</t>
  </si>
  <si>
    <t>Create_WO_from_Proposal</t>
  </si>
  <si>
    <t xml:space="preserve"> BS-06</t>
  </si>
  <si>
    <t>Mod/Brack</t>
  </si>
  <si>
    <t xml:space="preserve">[(LQ1A,New facilities):(LQ1B,1):(LQ1,1):(LQ2 ,60):(LQ7,1):(LQ9 ,US and Canada):(LQ10,Yes)]
::[(Q1A,Chemical):(Q1,1):(Q2,1-2):(Q3,0):(Q5,Yes):(Q5BTF,Yes):(Q6,Yes):(Q7,Minor):(Q7A,1):(Q7B,1):(Q8,No):(Q9,No):(Q10,No):(Q11,No)]
</t>
  </si>
  <si>
    <t>2018</t>
  </si>
  <si>
    <t>NSF/ANSI 2 - 2018: Food Equipment</t>
  </si>
  <si>
    <t>[(Account ID:Contains:0016100000S4LwmAAF)]</t>
  </si>
  <si>
    <t>ProposalQuoteValue</t>
  </si>
  <si>
    <t>123456</t>
  </si>
  <si>
    <t xml:space="preserve"> 17-09-2021---- 02:25:43 PM</t>
  </si>
  <si>
    <t xml:space="preserve"> 17-09-2021---- 02:43:04 PM</t>
  </si>
  <si>
    <t xml:space="preserve"> 17-09-2021---- 02:58:09 PM</t>
  </si>
  <si>
    <t xml:space="preserve"> 17-09-2021---- 04:21:36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</si>
</sst>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top"/>
    </xf>
    <xf numFmtId="0" fontId="0" fillId="2" borderId="1" xfId="0" applyFill="1" applyBorder="1"/>
    <xf numFmtId="0" fontId="1" fillId="0" borderId="0" xfId="1"/>
    <xf numFmtId="0" fontId="0" fillId="2" borderId="0" xfId="0" applyFill="1"/>
    <xf numFmtId="0" fontId="0" fillId="0" borderId="0" xfId="0" quotePrefix="1"/>
    <xf numFmtId="0" fontId="0" fillId="2" borderId="0" xfId="0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horizontal="left" vertical="top"/>
    </xf>
    <xf numFmtId="0" fontId="0" fillId="0" borderId="0" xfId="0" applyFill="1"/>
    <xf numFmtId="0" fontId="0" fillId="0" borderId="0" xfId="0" quotePrefix="1" applyFill="1"/>
    <xf numFmtId="0" fontId="0" fillId="0" borderId="0" xfId="0" applyAlignment="1">
      <alignment vertical="top"/>
    </xf>
    <xf numFmtId="0" fontId="0" fillId="0" borderId="2" xfId="0" quotePrefix="1" applyBorder="1" applyAlignment="1">
      <alignment vertical="top"/>
    </xf>
    <xf numFmtId="0" fontId="0" fillId="0" borderId="2" xfId="0" quotePrefix="1" applyBorder="1" applyAlignment="1">
      <alignment vertical="top" wrapText="1"/>
    </xf>
    <xf numFmtId="0" fontId="0" fillId="2" borderId="0" xfId="0" applyFill="1" applyAlignment="1">
      <alignment horizontal="center" vertical="top"/>
    </xf>
    <xf numFmtId="0" fontId="0" fillId="0" borderId="0" xfId="0" quotePrefix="1" applyAlignment="1">
      <alignment vertical="top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top"/>
    </xf>
    <xf numFmtId="0" fontId="3" fillId="4" borderId="0" xfId="0" applyFont="1" applyFill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0" fontId="0" fillId="2" borderId="0" xfId="0" applyFill="1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0" fillId="0" borderId="0" xfId="0" quotePrefix="1" applyFill="1" applyBorder="1" applyAlignment="1">
      <alignment vertical="top"/>
    </xf>
    <xf numFmtId="0" fontId="0" fillId="0" borderId="0" xfId="0" quotePrefix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0" fillId="2" borderId="0" xfId="0" applyFill="1" applyAlignment="1">
      <alignment vertical="top"/>
    </xf>
    <xf numFmtId="0" fontId="1" fillId="0" borderId="0" xfId="1" quotePrefix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Fill="1" applyAlignment="1">
      <alignment vertical="top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quotePrefix="1" applyBorder="1" applyAlignment="1">
      <alignment vertical="top"/>
    </xf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13" borderId="0" xfId="0" applyFill="1"/>
    <xf numFmtId="0" fontId="0" fillId="13" borderId="0" xfId="0" applyFill="1"/>
    <xf numFmtId="0" fontId="4" fillId="2" borderId="0" xfId="0" applyFont="1" applyFill="1"/>
    <xf numFmtId="0" fontId="4" fillId="0" borderId="2" xfId="0" quotePrefix="1" applyFont="1" applyBorder="1" applyAlignment="1">
      <alignment vertical="top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1" borderId="0" xfId="0" applyFill="true"/>
    <xf numFmtId="0" fontId="0" fillId="23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styles" Target="styles.xml"/>
  <Relationship Id="rId11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testscriptuser@nsf.org"/>
  <Relationship Id="rId10" Type="http://schemas.openxmlformats.org/officeDocument/2006/relationships/hyperlink" TargetMode="External" Target="mailto:testscriptuser@nsf.org"/>
  <Relationship Id="rId11" Type="http://schemas.openxmlformats.org/officeDocument/2006/relationships/hyperlink" TargetMode="External" Target="mailto:testscriptuser@nsf.org"/>
  <Relationship Id="rId2" Type="http://schemas.openxmlformats.org/officeDocument/2006/relationships/hyperlink" TargetMode="External" Target="mailto:testscriptuser@nsf.org"/>
  <Relationship Id="rId3" Type="http://schemas.openxmlformats.org/officeDocument/2006/relationships/printerSettings" Target="../printerSettings/printerSettings2.bin"/>
  <Relationship Id="rId4" Type="http://schemas.openxmlformats.org/officeDocument/2006/relationships/hyperlink" TargetMode="External" Target="mailto:testscriptuser@nsf.org"/>
  <Relationship Id="rId5" Type="http://schemas.openxmlformats.org/officeDocument/2006/relationships/hyperlink" TargetMode="External" Target="mailto:testscriptuser@nsf.org"/>
  <Relationship Id="rId6" Type="http://schemas.openxmlformats.org/officeDocument/2006/relationships/hyperlink" TargetMode="External" Target="mailto:testscriptuser@nsf.org"/>
  <Relationship Id="rId7" Type="http://schemas.openxmlformats.org/officeDocument/2006/relationships/hyperlink" TargetMode="External" Target="mailto:testscriptuser@nsf.org"/>
  <Relationship Id="rId8" Type="http://schemas.openxmlformats.org/officeDocument/2006/relationships/hyperlink" TargetMode="External" Target="mailto:testscriptuser@nsf.org"/>
  <Relationship Id="rId9" Type="http://schemas.openxmlformats.org/officeDocument/2006/relationships/hyperlink" TargetMode="External" Target="mailto:testscriptuser@nsf.org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7.bin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8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B2" sqref="B2"/>
    </sheetView>
  </sheetViews>
  <sheetFormatPr defaultRowHeight="15" x14ac:dyDescent="0.25"/>
  <cols>
    <col min="2" max="2" bestFit="true" customWidth="true" width="32.140625" collapsed="true"/>
    <col min="3" max="3" bestFit="true" customWidth="true" width="11.140625" collapsed="true"/>
    <col min="4" max="4" bestFit="true" customWidth="true" style="8" width="9.5703125" collapsed="true"/>
    <col min="5" max="5" bestFit="true" customWidth="true" width="7.26083984375" collapsed="true"/>
    <col min="6" max="6" bestFit="true" customWidth="true" width="25.893359375" collapsed="true"/>
    <col min="7" max="7" customWidth="true" width="15.0" collapsed="true"/>
    <col min="8" max="8" bestFit="true" customWidth="true" width="25.893359375" collapsed="true"/>
  </cols>
  <sheetData>
    <row r="1" spans="1:8" x14ac:dyDescent="0.25">
      <c r="A1" s="1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15" t="s">
        <v>87</v>
      </c>
      <c r="G1" s="10"/>
      <c r="H1" s="6" t="s">
        <v>88</v>
      </c>
    </row>
    <row r="2" spans="1:8" x14ac:dyDescent="0.25">
      <c r="A2" s="1">
        <v>1</v>
      </c>
      <c r="B2" s="3" t="s">
        <v>34</v>
      </c>
      <c r="C2" s="9" t="s">
        <v>35</v>
      </c>
      <c r="D2" s="8" t="s">
        <v>52</v>
      </c>
      <c r="E2" s="48" t="s">
        <v>95</v>
      </c>
      <c r="F2" t="s">
        <v>122</v>
      </c>
      <c r="H2" t="s">
        <v>122</v>
      </c>
    </row>
    <row r="3" spans="1:8" x14ac:dyDescent="0.25">
      <c r="A3" s="1">
        <v>2</v>
      </c>
      <c r="B3" s="3" t="s">
        <v>39</v>
      </c>
      <c r="C3" s="9" t="s">
        <v>38</v>
      </c>
      <c r="D3" s="8" t="s">
        <v>5</v>
      </c>
      <c r="E3" s="54" t="s">
        <v>95</v>
      </c>
      <c r="F3" t="s">
        <v>125</v>
      </c>
      <c r="H3" t="s">
        <v>125</v>
      </c>
    </row>
    <row r="4" spans="1:8" x14ac:dyDescent="0.25">
      <c r="A4" s="1">
        <v>3</v>
      </c>
      <c r="B4" s="3" t="s">
        <v>41</v>
      </c>
      <c r="C4" s="9" t="s">
        <v>42</v>
      </c>
      <c r="D4" s="8" t="s">
        <v>52</v>
      </c>
      <c r="E4" s="44" t="s">
        <v>112</v>
      </c>
      <c r="F4" t="s">
        <v>111</v>
      </c>
      <c r="H4" t="s">
        <v>96</v>
      </c>
    </row>
    <row r="5" spans="1:8" x14ac:dyDescent="0.25">
      <c r="A5" s="1">
        <v>4</v>
      </c>
      <c r="B5" s="3" t="s">
        <v>61</v>
      </c>
      <c r="C5" s="9" t="s">
        <v>60</v>
      </c>
      <c r="D5" s="8" t="s">
        <v>52</v>
      </c>
      <c r="E5" t="s">
        <v>95</v>
      </c>
      <c r="F5" t="s">
        <v>96</v>
      </c>
      <c r="H5" t="s">
        <v>96</v>
      </c>
    </row>
    <row r="6" spans="1:8" x14ac:dyDescent="0.25">
      <c r="A6" s="1">
        <v>5</v>
      </c>
      <c r="B6" s="3" t="s">
        <v>78</v>
      </c>
      <c r="C6" s="9" t="s">
        <v>77</v>
      </c>
      <c r="D6" s="8" t="s">
        <v>52</v>
      </c>
      <c r="E6" s="38" t="s">
        <v>95</v>
      </c>
      <c r="F6" t="s">
        <v>108</v>
      </c>
      <c r="H6" t="s">
        <v>108</v>
      </c>
    </row>
    <row r="7" spans="1:8" x14ac:dyDescent="0.25">
      <c r="A7" s="1">
        <v>6</v>
      </c>
      <c r="B7" s="3" t="s">
        <v>113</v>
      </c>
      <c r="C7" s="9" t="s">
        <v>114</v>
      </c>
      <c r="D7" s="8" t="s">
        <v>52</v>
      </c>
      <c r="E7" s="50" t="s">
        <v>95</v>
      </c>
      <c r="F7" t="s">
        <v>123</v>
      </c>
      <c r="H7" t="s">
        <v>123</v>
      </c>
    </row>
  </sheetData>
  <dataValidations count="1">
    <dataValidation type="list" allowBlank="1" showInputMessage="1" showErrorMessage="1" sqref="D1:D1048576" xr:uid="{00000000-0002-0000-0000-000000000000}">
      <formula1>"Y,N"</formula1>
    </dataValidation>
  </dataValidations>
  <hyperlinks>
    <hyperlink ref="B2" location="Proposal_Won!A1" display="Proposal_Won" xr:uid="{00000000-0004-0000-0000-000000000000}"/>
    <hyperlink ref="B3" location="Proposal_Lost!A1" display="Proposal_Lost" xr:uid="{00000000-0004-0000-0000-000001000000}"/>
    <hyperlink ref="B4" location="Proposal_RequoteWon!A1" display="Proposal_RequoteWon" xr:uid="{00000000-0004-0000-0000-000002000000}"/>
    <hyperlink ref="B5" location="Proposal_Won_Acetic_Acid!A1" display="Proposal_Won_Acetic_Acid" xr:uid="{00000000-0004-0000-0000-000003000000}"/>
    <hyperlink ref="B6" location="Proposal_VerifyBillRate!A1" display="Proposal_VerifyBillRate" xr:uid="{00000000-0004-0000-0000-000004000000}"/>
    <hyperlink ref="B7" location="Create_WO_from_Proposal!A1" display="Create_WO_from_Proposal" xr:uid="{00000000-0004-0000-0000-000005000000}"/>
  </hyperlink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"/>
  <sheetViews>
    <sheetView topLeftCell="D1" workbookViewId="0">
      <selection activeCell="K1" sqref="K1:K2"/>
    </sheetView>
  </sheetViews>
  <sheetFormatPr defaultRowHeight="15" x14ac:dyDescent="0.25"/>
  <cols>
    <col min="2" max="2" bestFit="true" customWidth="true" width="42.28515625" collapsed="true"/>
    <col min="3" max="3" bestFit="true" customWidth="true" width="49.0" collapsed="true"/>
    <col min="4" max="4" bestFit="true" customWidth="true" width="41.140625" collapsed="true"/>
    <col min="5" max="5" bestFit="true" customWidth="true" width="32.140625" collapsed="true"/>
    <col min="6" max="6" bestFit="true" customWidth="true" width="39.140625" collapsed="true"/>
    <col min="7" max="7" customWidth="true" width="24.5703125" collapsed="true"/>
    <col min="8" max="8" bestFit="true" customWidth="true" width="32.85546875" collapsed="true"/>
    <col min="9" max="9" bestFit="true" customWidth="true" width="6.7109375" collapsed="true"/>
    <col min="10" max="10" bestFit="true" customWidth="true" width="15.28515625" collapsed="true"/>
    <col min="11" max="11" bestFit="true" customWidth="true" width="19.7109375" collapsed="true"/>
    <col min="12" max="12" customWidth="true" width="132.7109375" collapsed="true"/>
    <col min="13" max="13" customWidth="true" width="29.28515625" collapsed="true"/>
    <col min="14" max="16" customWidth="true" width="21.42578125" collapsed="true"/>
    <col min="17" max="17" bestFit="true" customWidth="true" width="29.28515625" collapsed="true"/>
    <col min="18" max="19" customWidth="true" width="29.28515625" collapsed="true"/>
    <col min="20" max="20" customWidth="true" width="15.28515625" collapsed="true"/>
    <col min="21" max="21" bestFit="true" customWidth="true" width="18.0" collapsed="true"/>
    <col min="22" max="22" bestFit="true" customWidth="true" width="88.0" collapsed="true"/>
    <col min="23" max="23" bestFit="true" customWidth="true" width="60.5703125" collapsed="true"/>
    <col min="24" max="24" bestFit="true" customWidth="true" width="28.140625" collapsed="true"/>
    <col min="25" max="25" style="8" width="9.140625" collapsed="true"/>
    <col min="26" max="26" bestFit="true" customWidth="true" width="7.28515625" collapsed="true"/>
    <col min="27" max="27" bestFit="true" customWidth="true" width="15.0" collapsed="true"/>
  </cols>
  <sheetData>
    <row r="1" spans="1:27" x14ac:dyDescent="0.25">
      <c r="A1" s="15" t="s">
        <v>76</v>
      </c>
      <c r="B1" s="4" t="s">
        <v>97</v>
      </c>
      <c r="C1" s="4" t="s">
        <v>63</v>
      </c>
      <c r="D1" s="4" t="s">
        <v>99</v>
      </c>
      <c r="E1" s="4" t="s">
        <v>9</v>
      </c>
      <c r="F1" s="4" t="s">
        <v>10</v>
      </c>
      <c r="G1" s="45" t="s">
        <v>53</v>
      </c>
      <c r="H1" s="6" t="s">
        <v>109</v>
      </c>
      <c r="I1" s="4" t="s">
        <v>7</v>
      </c>
      <c r="J1" s="4" t="s">
        <v>11</v>
      </c>
      <c r="K1" s="4" t="s">
        <v>120</v>
      </c>
      <c r="L1" s="6" t="s">
        <v>65</v>
      </c>
      <c r="M1" s="4" t="s">
        <v>93</v>
      </c>
      <c r="N1" s="4" t="s">
        <v>54</v>
      </c>
      <c r="O1" s="4" t="s">
        <v>55</v>
      </c>
      <c r="P1" s="4" t="s">
        <v>56</v>
      </c>
      <c r="Q1" s="4" t="s">
        <v>25</v>
      </c>
      <c r="R1" s="4" t="s">
        <v>74</v>
      </c>
      <c r="S1" s="4" t="s">
        <v>26</v>
      </c>
      <c r="T1" s="4" t="s">
        <v>18</v>
      </c>
      <c r="U1" s="4" t="s">
        <v>27</v>
      </c>
      <c r="V1" s="4" t="s">
        <v>28</v>
      </c>
      <c r="W1" s="4" t="s">
        <v>29</v>
      </c>
      <c r="X1" s="4" t="s">
        <v>30</v>
      </c>
      <c r="Y1" s="7" t="s">
        <v>3</v>
      </c>
      <c r="Z1" s="2" t="s">
        <v>4</v>
      </c>
      <c r="AA1" s="6" t="s">
        <v>17</v>
      </c>
    </row>
    <row r="2" spans="1:27" s="12" customFormat="1" ht="75" x14ac:dyDescent="0.25">
      <c r="A2" s="19">
        <v>1</v>
      </c>
      <c r="B2" s="16" t="s">
        <v>119</v>
      </c>
      <c r="C2" s="16" t="s">
        <v>98</v>
      </c>
      <c r="D2" s="16" t="s">
        <v>100</v>
      </c>
      <c r="E2" s="16" t="s">
        <v>62</v>
      </c>
      <c r="F2" s="12" t="s">
        <v>81</v>
      </c>
      <c r="G2" s="46" t="s">
        <v>117</v>
      </c>
      <c r="H2" s="12" t="s">
        <v>118</v>
      </c>
      <c r="I2" s="12" t="s">
        <v>14</v>
      </c>
      <c r="J2" s="16" t="s">
        <v>15</v>
      </c>
      <c r="K2" s="16" t="s">
        <v>121</v>
      </c>
      <c r="L2" s="25" t="s">
        <v>102</v>
      </c>
      <c r="M2" s="16">
        <v>1000</v>
      </c>
      <c r="N2" s="16" t="s">
        <v>57</v>
      </c>
      <c r="O2" s="16" t="s">
        <v>57</v>
      </c>
      <c r="P2" s="16" t="s">
        <v>58</v>
      </c>
      <c r="Q2" s="16" t="s">
        <v>24</v>
      </c>
      <c r="R2" s="28" t="s">
        <v>75</v>
      </c>
      <c r="S2" s="28" t="s">
        <v>75</v>
      </c>
      <c r="T2" s="12" t="s">
        <v>16</v>
      </c>
      <c r="U2" s="18" t="s">
        <v>82</v>
      </c>
      <c r="V2" s="12" t="s">
        <v>104</v>
      </c>
      <c r="W2" s="16" t="s">
        <v>110</v>
      </c>
      <c r="X2" s="16" t="s">
        <v>103</v>
      </c>
      <c r="Y2" s="29" t="s">
        <v>5</v>
      </c>
      <c r="Z2" s="47" t="s">
        <v>95</v>
      </c>
    </row>
  </sheetData>
  <dataValidations count="1">
    <dataValidation type="list" allowBlank="1" showInputMessage="1" showErrorMessage="1" sqref="Y1:Y1048576" xr:uid="{00000000-0002-0000-0100-000000000000}">
      <formula1>"Y,N"</formula1>
    </dataValidation>
  </dataValidations>
  <hyperlinks>
    <hyperlink ref="S2" r:id="rId10" xr:uid="{00000000-0004-0000-0100-000000000000}"/>
    <hyperlink ref="R2" r:id="rId11" xr:uid="{00000000-0004-0000-0100-000001000000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tabSelected="1" topLeftCell="E1" workbookViewId="0">
      <selection activeCell="J1" sqref="J1:J2"/>
    </sheetView>
  </sheetViews>
  <sheetFormatPr defaultRowHeight="15" x14ac:dyDescent="0.25"/>
  <cols>
    <col min="2" max="2" bestFit="true" customWidth="true" width="6.28515625" collapsed="true"/>
    <col min="3" max="3" bestFit="true" customWidth="true" width="49.0" collapsed="true"/>
    <col min="4" max="4" bestFit="true" customWidth="true" width="33.42578125" collapsed="true"/>
    <col min="5" max="5" bestFit="true" customWidth="true" width="39.140625" collapsed="true"/>
    <col min="6" max="6" bestFit="true" customWidth="true" width="15.28515625" collapsed="true"/>
    <col min="7" max="7" bestFit="true" customWidth="true" width="32.85546875" collapsed="true"/>
    <col min="8" max="8" bestFit="true" customWidth="true" width="21.140625" collapsed="true"/>
    <col min="9" max="9" bestFit="true" customWidth="true" width="21.42578125" collapsed="true"/>
    <col min="10" max="10" customWidth="true" width="21.42578125" collapsed="true"/>
    <col min="11" max="11" customWidth="true" width="126.5703125" collapsed="true"/>
    <col min="12" max="12" customWidth="true" width="29.28515625" collapsed="true"/>
    <col min="13" max="13" customWidth="true" width="15.28515625" collapsed="true"/>
    <col min="14" max="14" bestFit="true" customWidth="true" width="21.140625" collapsed="true"/>
    <col min="15" max="15" bestFit="true" customWidth="true" style="10" width="21.140625" collapsed="true"/>
    <col min="16" max="16" bestFit="true" customWidth="true" width="7.28515625" collapsed="true"/>
    <col min="18" max="18" bestFit="true" customWidth="true" width="7.26083984375" collapsed="true"/>
    <col min="19" max="19" bestFit="true" customWidth="true" width="15.140625" collapsed="true"/>
  </cols>
  <sheetData>
    <row r="1" spans="1:19" x14ac:dyDescent="0.25">
      <c r="A1" s="15" t="s">
        <v>76</v>
      </c>
      <c r="B1" s="4" t="s">
        <v>6</v>
      </c>
      <c r="C1" s="4" t="s">
        <v>63</v>
      </c>
      <c r="D1" s="4" t="s">
        <v>9</v>
      </c>
      <c r="E1" s="4" t="s">
        <v>10</v>
      </c>
      <c r="F1" s="45" t="s">
        <v>53</v>
      </c>
      <c r="G1" s="6" t="s">
        <v>109</v>
      </c>
      <c r="H1" s="4" t="s">
        <v>7</v>
      </c>
      <c r="I1" s="4" t="s">
        <v>11</v>
      </c>
      <c r="J1" s="4" t="s">
        <v>120</v>
      </c>
      <c r="K1" s="6" t="s">
        <v>65</v>
      </c>
      <c r="L1" s="4" t="s">
        <v>93</v>
      </c>
      <c r="M1" s="4" t="s">
        <v>54</v>
      </c>
      <c r="N1" s="4" t="s">
        <v>55</v>
      </c>
      <c r="O1" s="4" t="s">
        <v>56</v>
      </c>
      <c r="P1" s="10" t="s">
        <v>18</v>
      </c>
      <c r="Q1" s="7" t="s">
        <v>3</v>
      </c>
      <c r="R1" s="2" t="s">
        <v>4</v>
      </c>
      <c r="S1" s="6" t="s">
        <v>17</v>
      </c>
    </row>
    <row r="2" spans="1:19" s="12" customFormat="1" ht="75" x14ac:dyDescent="0.25">
      <c r="A2" s="19">
        <v>1</v>
      </c>
      <c r="B2" s="16" t="s">
        <v>12</v>
      </c>
      <c r="C2" s="16" t="s">
        <v>64</v>
      </c>
      <c r="D2" s="16" t="s">
        <v>62</v>
      </c>
      <c r="E2" s="12" t="s">
        <v>81</v>
      </c>
      <c r="F2" s="46" t="s">
        <v>117</v>
      </c>
      <c r="G2" s="39" t="s">
        <v>118</v>
      </c>
      <c r="H2" s="12" t="s">
        <v>14</v>
      </c>
      <c r="I2" s="16" t="s">
        <v>15</v>
      </c>
      <c r="J2" s="16" t="s">
        <v>121</v>
      </c>
      <c r="K2" s="25" t="s">
        <v>102</v>
      </c>
      <c r="L2" s="16" t="s">
        <v>94</v>
      </c>
      <c r="M2" s="16" t="s">
        <v>57</v>
      </c>
      <c r="N2" s="16" t="s">
        <v>57</v>
      </c>
      <c r="O2" s="16" t="s">
        <v>58</v>
      </c>
      <c r="P2" s="30" t="s">
        <v>40</v>
      </c>
      <c r="Q2" s="29" t="s">
        <v>5</v>
      </c>
      <c r="R2" s="53" t="s">
        <v>95</v>
      </c>
    </row>
  </sheetData>
  <dataValidations count="1">
    <dataValidation type="list" allowBlank="1" showInputMessage="1" showErrorMessage="1" sqref="Q1:Q2 O3:O1048576" xr:uid="{00000000-0002-0000-0200-000000000000}">
      <formula1>"Y,N"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"/>
  <sheetViews>
    <sheetView topLeftCell="L1" workbookViewId="0">
      <selection activeCell="G2" sqref="G2"/>
    </sheetView>
  </sheetViews>
  <sheetFormatPr defaultRowHeight="15" x14ac:dyDescent="0.25"/>
  <cols>
    <col min="2" max="2" bestFit="true" customWidth="true" width="6.28515625" collapsed="true"/>
    <col min="3" max="3" bestFit="true" customWidth="true" width="25.5703125" collapsed="true"/>
    <col min="4" max="4" bestFit="true" customWidth="true" width="24.5703125" collapsed="true"/>
    <col min="5" max="5" bestFit="true" customWidth="true" width="15.7109375" collapsed="true"/>
    <col min="6" max="6" bestFit="true" customWidth="true" width="15.28515625" collapsed="true"/>
    <col min="7" max="7" customWidth="true" width="15.28515625" collapsed="true"/>
    <col min="8" max="8" bestFit="true" customWidth="true" width="21.140625" collapsed="true"/>
    <col min="9" max="9" bestFit="true" customWidth="true" width="21.42578125" collapsed="true"/>
    <col min="10" max="10" bestFit="true" customWidth="true" width="29.28515625" collapsed="true"/>
    <col min="11" max="12" customWidth="true" width="29.28515625" collapsed="true"/>
    <col min="13" max="13" customWidth="true" width="15.28515625" collapsed="true"/>
    <col min="14" max="14" bestFit="true" customWidth="true" width="30.42578125" collapsed="true"/>
    <col min="15" max="15" bestFit="true" customWidth="true" width="18.0" collapsed="true"/>
    <col min="16" max="16" bestFit="true" customWidth="true" width="28.7109375" collapsed="true"/>
    <col min="17" max="17" bestFit="true" customWidth="true" width="19.42578125" collapsed="true"/>
    <col min="18" max="18" bestFit="true" customWidth="true" width="23.28515625" collapsed="true"/>
    <col min="19" max="19" bestFit="true" customWidth="true" style="10" width="18.7109375" collapsed="true"/>
    <col min="20" max="20" bestFit="true" customWidth="true" width="7.28515625" collapsed="true"/>
    <col min="21" max="21" bestFit="true" customWidth="true" width="15.0" collapsed="true"/>
    <col min="24" max="25" bestFit="true" customWidth="true" width="7.28515625" collapsed="true"/>
  </cols>
  <sheetData>
    <row r="1" spans="1:26" x14ac:dyDescent="0.25">
      <c r="A1" s="1" t="s">
        <v>76</v>
      </c>
      <c r="B1" s="4" t="s">
        <v>6</v>
      </c>
      <c r="C1" s="4" t="s">
        <v>63</v>
      </c>
      <c r="D1" s="4" t="s">
        <v>9</v>
      </c>
      <c r="E1" s="4" t="s">
        <v>10</v>
      </c>
      <c r="F1" s="4" t="s">
        <v>53</v>
      </c>
      <c r="G1" s="6" t="s">
        <v>109</v>
      </c>
      <c r="H1" s="4" t="s">
        <v>7</v>
      </c>
      <c r="I1" s="4" t="s">
        <v>11</v>
      </c>
      <c r="J1" s="4" t="s">
        <v>20</v>
      </c>
      <c r="K1" s="4" t="s">
        <v>23</v>
      </c>
      <c r="L1" s="4" t="s">
        <v>93</v>
      </c>
      <c r="M1" s="4" t="s">
        <v>54</v>
      </c>
      <c r="N1" s="4" t="s">
        <v>55</v>
      </c>
      <c r="O1" s="4" t="s">
        <v>56</v>
      </c>
      <c r="P1" s="4" t="s">
        <v>18</v>
      </c>
      <c r="Q1" s="4" t="s">
        <v>44</v>
      </c>
      <c r="R1" s="4" t="s">
        <v>46</v>
      </c>
      <c r="S1" s="4" t="s">
        <v>47</v>
      </c>
      <c r="T1" s="4" t="s">
        <v>27</v>
      </c>
      <c r="U1" s="4" t="s">
        <v>28</v>
      </c>
      <c r="V1" s="4" t="s">
        <v>29</v>
      </c>
      <c r="W1" s="10" t="s">
        <v>30</v>
      </c>
      <c r="X1" s="7" t="s">
        <v>3</v>
      </c>
      <c r="Y1" s="2" t="s">
        <v>4</v>
      </c>
      <c r="Z1" s="6" t="s">
        <v>17</v>
      </c>
    </row>
    <row r="2" spans="1:26" x14ac:dyDescent="0.25">
      <c r="A2" s="19">
        <v>1</v>
      </c>
      <c r="B2" s="5" t="s">
        <v>12</v>
      </c>
      <c r="C2" s="5" t="s">
        <v>64</v>
      </c>
      <c r="D2" s="5" t="s">
        <v>13</v>
      </c>
      <c r="E2" t="s">
        <v>19</v>
      </c>
      <c r="F2" s="13" t="s">
        <v>83</v>
      </c>
      <c r="G2" s="39" t="s">
        <v>118</v>
      </c>
      <c r="H2" t="s">
        <v>14</v>
      </c>
      <c r="I2" s="5" t="s">
        <v>15</v>
      </c>
      <c r="J2" t="s">
        <v>21</v>
      </c>
      <c r="K2" s="5" t="s">
        <v>22</v>
      </c>
      <c r="L2" s="5" t="s">
        <v>94</v>
      </c>
      <c r="M2" s="5" t="s">
        <v>57</v>
      </c>
      <c r="N2" s="5" t="s">
        <v>57</v>
      </c>
      <c r="O2" s="5" t="s">
        <v>58</v>
      </c>
      <c r="P2" t="s">
        <v>43</v>
      </c>
      <c r="Q2" t="s">
        <v>45</v>
      </c>
      <c r="R2" t="s">
        <v>21</v>
      </c>
      <c r="S2" s="5" t="s">
        <v>49</v>
      </c>
      <c r="T2" s="18" t="s">
        <v>82</v>
      </c>
      <c r="U2" t="s">
        <v>33</v>
      </c>
      <c r="V2" s="5" t="s">
        <v>31</v>
      </c>
      <c r="W2" s="11" t="s">
        <v>32</v>
      </c>
      <c r="X2" s="8" t="s">
        <v>52</v>
      </c>
      <c r="Y2" s="40" t="s">
        <v>59</v>
      </c>
    </row>
    <row r="3" spans="1:26" x14ac:dyDescent="0.25">
      <c r="A3" s="19">
        <v>2</v>
      </c>
      <c r="B3" s="5" t="s">
        <v>12</v>
      </c>
      <c r="C3" s="5" t="s">
        <v>64</v>
      </c>
      <c r="D3" s="5" t="s">
        <v>13</v>
      </c>
      <c r="E3" t="s">
        <v>19</v>
      </c>
      <c r="F3" s="13" t="s">
        <v>83</v>
      </c>
      <c r="G3" s="39" t="s">
        <v>118</v>
      </c>
      <c r="H3" t="s">
        <v>14</v>
      </c>
      <c r="I3" s="5" t="s">
        <v>15</v>
      </c>
      <c r="J3" t="s">
        <v>8</v>
      </c>
      <c r="K3" s="5" t="s">
        <v>22</v>
      </c>
      <c r="L3" s="5" t="s">
        <v>94</v>
      </c>
      <c r="M3" s="5" t="s">
        <v>57</v>
      </c>
      <c r="N3" s="5" t="s">
        <v>57</v>
      </c>
      <c r="O3" s="5" t="s">
        <v>58</v>
      </c>
      <c r="P3" t="s">
        <v>43</v>
      </c>
      <c r="Q3" t="s">
        <v>45</v>
      </c>
      <c r="R3" t="s">
        <v>8</v>
      </c>
      <c r="S3" s="5" t="s">
        <v>50</v>
      </c>
      <c r="T3" s="18" t="s">
        <v>82</v>
      </c>
      <c r="U3" t="s">
        <v>33</v>
      </c>
      <c r="V3" s="5" t="s">
        <v>31</v>
      </c>
      <c r="W3" s="11" t="s">
        <v>32</v>
      </c>
      <c r="X3" s="8" t="s">
        <v>52</v>
      </c>
      <c r="Y3" s="41" t="s">
        <v>59</v>
      </c>
    </row>
    <row r="4" spans="1:26" x14ac:dyDescent="0.25">
      <c r="A4" s="19">
        <v>3</v>
      </c>
      <c r="B4" s="5" t="s">
        <v>12</v>
      </c>
      <c r="C4" s="5" t="s">
        <v>64</v>
      </c>
      <c r="D4" s="5" t="s">
        <v>13</v>
      </c>
      <c r="E4" t="s">
        <v>19</v>
      </c>
      <c r="F4" s="13" t="s">
        <v>83</v>
      </c>
      <c r="G4" s="39" t="s">
        <v>118</v>
      </c>
      <c r="H4" t="s">
        <v>14</v>
      </c>
      <c r="I4" s="5" t="s">
        <v>15</v>
      </c>
      <c r="J4" t="s">
        <v>36</v>
      </c>
      <c r="K4" s="5" t="s">
        <v>22</v>
      </c>
      <c r="L4" s="5" t="s">
        <v>94</v>
      </c>
      <c r="M4" s="5" t="s">
        <v>57</v>
      </c>
      <c r="N4" s="5" t="s">
        <v>57</v>
      </c>
      <c r="O4" s="5" t="s">
        <v>58</v>
      </c>
      <c r="P4" t="s">
        <v>43</v>
      </c>
      <c r="Q4" t="s">
        <v>45</v>
      </c>
      <c r="R4" t="s">
        <v>36</v>
      </c>
      <c r="S4" s="5" t="s">
        <v>51</v>
      </c>
      <c r="T4" s="18" t="s">
        <v>82</v>
      </c>
      <c r="U4" t="s">
        <v>33</v>
      </c>
      <c r="V4" s="5" t="s">
        <v>31</v>
      </c>
      <c r="W4" s="11" t="s">
        <v>32</v>
      </c>
      <c r="X4" s="8" t="s">
        <v>52</v>
      </c>
      <c r="Y4" s="42" t="s">
        <v>59</v>
      </c>
    </row>
    <row r="5" spans="1:26" x14ac:dyDescent="0.25">
      <c r="A5" s="19">
        <v>4</v>
      </c>
      <c r="B5" s="5" t="s">
        <v>12</v>
      </c>
      <c r="C5" s="5" t="s">
        <v>64</v>
      </c>
      <c r="D5" s="5" t="s">
        <v>13</v>
      </c>
      <c r="E5" t="s">
        <v>19</v>
      </c>
      <c r="F5" s="13" t="s">
        <v>83</v>
      </c>
      <c r="G5" s="39" t="s">
        <v>118</v>
      </c>
      <c r="H5" t="s">
        <v>14</v>
      </c>
      <c r="I5" s="5" t="s">
        <v>15</v>
      </c>
      <c r="J5" t="s">
        <v>36</v>
      </c>
      <c r="K5" s="5" t="s">
        <v>37</v>
      </c>
      <c r="L5" s="5" t="s">
        <v>94</v>
      </c>
      <c r="M5" s="5" t="s">
        <v>57</v>
      </c>
      <c r="N5" s="5" t="s">
        <v>57</v>
      </c>
      <c r="O5" s="5" t="s">
        <v>58</v>
      </c>
      <c r="P5" t="s">
        <v>43</v>
      </c>
      <c r="Q5" t="s">
        <v>45</v>
      </c>
      <c r="R5" t="s">
        <v>36</v>
      </c>
      <c r="S5" s="5" t="s">
        <v>48</v>
      </c>
      <c r="T5" s="18" t="s">
        <v>82</v>
      </c>
      <c r="U5" t="s">
        <v>33</v>
      </c>
      <c r="V5" s="5" t="s">
        <v>31</v>
      </c>
      <c r="W5" s="11" t="s">
        <v>32</v>
      </c>
      <c r="X5" s="8" t="s">
        <v>5</v>
      </c>
      <c r="Y5" s="43" t="s">
        <v>112</v>
      </c>
    </row>
  </sheetData>
  <dataValidations count="1">
    <dataValidation type="list" allowBlank="1" showInputMessage="1" showErrorMessage="1" sqref="S6:S1048576 X1:X5" xr:uid="{00000000-0002-0000-0300-000000000000}">
      <formula1>"Y,N"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"/>
  <sheetViews>
    <sheetView topLeftCell="C4" workbookViewId="0">
      <selection activeCell="J5" sqref="J5"/>
    </sheetView>
  </sheetViews>
  <sheetFormatPr defaultRowHeight="15" x14ac:dyDescent="0.25"/>
  <cols>
    <col min="2" max="2" customWidth="true" width="9.140625" collapsed="true"/>
    <col min="3" max="3" bestFit="true" customWidth="true" width="33.0" collapsed="true"/>
    <col min="4" max="4" bestFit="true" customWidth="true" width="39.140625" collapsed="true"/>
    <col min="5" max="5" customWidth="true" width="24.5703125" collapsed="true"/>
    <col min="6" max="6" bestFit="true" customWidth="true" width="15.7109375" collapsed="true"/>
    <col min="7" max="7" bestFit="true" customWidth="true" width="16.85546875" collapsed="true"/>
    <col min="8" max="8" customWidth="true" width="14.0" collapsed="true"/>
    <col min="9" max="9" customWidth="true" width="18.140625" collapsed="true"/>
    <col min="10" max="10" customWidth="true" width="100.42578125" collapsed="true"/>
    <col min="11" max="11" customWidth="true" style="12" width="29.28515625" collapsed="true"/>
    <col min="12" max="12" customWidth="true" width="136.28515625" collapsed="true"/>
    <col min="13" max="13" bestFit="true" customWidth="true" width="18.0" collapsed="true"/>
    <col min="14" max="14" customWidth="true" width="18.0" collapsed="true"/>
    <col min="15" max="15" bestFit="true" customWidth="true" width="29.7109375" collapsed="true"/>
    <col min="16" max="16" bestFit="true" customWidth="true" width="19.42578125" collapsed="true"/>
    <col min="17" max="17" bestFit="true" customWidth="true" style="10" width="14.140625" collapsed="true"/>
    <col min="18" max="18" bestFit="true" customWidth="true" style="12" width="7.28515625" collapsed="true"/>
    <col min="19" max="19" bestFit="true" customWidth="true" width="7.28515625" collapsed="true"/>
    <col min="20" max="20" customWidth="true" width="31.5703125" collapsed="true"/>
  </cols>
  <sheetData>
    <row r="1" spans="1:20" s="22" customFormat="1" x14ac:dyDescent="0.25">
      <c r="A1" s="20" t="s">
        <v>76</v>
      </c>
      <c r="B1" s="6" t="s">
        <v>6</v>
      </c>
      <c r="C1" s="6" t="s">
        <v>63</v>
      </c>
      <c r="D1" s="6" t="s">
        <v>9</v>
      </c>
      <c r="E1" s="6" t="s">
        <v>10</v>
      </c>
      <c r="F1" s="6" t="s">
        <v>53</v>
      </c>
      <c r="G1" s="6" t="s">
        <v>109</v>
      </c>
      <c r="H1" s="6" t="s">
        <v>7</v>
      </c>
      <c r="I1" s="6" t="s">
        <v>11</v>
      </c>
      <c r="J1" s="6" t="s">
        <v>65</v>
      </c>
      <c r="K1" s="27" t="s">
        <v>93</v>
      </c>
      <c r="L1" s="6" t="s">
        <v>66</v>
      </c>
      <c r="M1" s="6" t="s">
        <v>18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</v>
      </c>
      <c r="S1" s="21" t="s">
        <v>4</v>
      </c>
      <c r="T1" s="6" t="s">
        <v>17</v>
      </c>
    </row>
    <row r="2" spans="1:20" ht="105" x14ac:dyDescent="0.25">
      <c r="A2">
        <v>1</v>
      </c>
      <c r="B2" s="24" t="s">
        <v>12</v>
      </c>
      <c r="C2" s="24" t="s">
        <v>64</v>
      </c>
      <c r="D2" s="24" t="s">
        <v>62</v>
      </c>
      <c r="E2" s="23" t="s">
        <v>81</v>
      </c>
      <c r="F2" s="24" t="s">
        <v>83</v>
      </c>
      <c r="G2" s="39" t="s">
        <v>118</v>
      </c>
      <c r="H2" s="23" t="s">
        <v>14</v>
      </c>
      <c r="I2" s="24" t="s">
        <v>15</v>
      </c>
      <c r="J2" s="25" t="s">
        <v>69</v>
      </c>
      <c r="K2" s="16" t="s">
        <v>94</v>
      </c>
      <c r="L2" s="25" t="s">
        <v>71</v>
      </c>
      <c r="M2" s="23" t="s">
        <v>16</v>
      </c>
      <c r="N2" s="23" t="s">
        <v>82</v>
      </c>
      <c r="O2" s="23" t="s">
        <v>33</v>
      </c>
      <c r="P2" s="24" t="s">
        <v>31</v>
      </c>
      <c r="Q2" s="24" t="s">
        <v>32</v>
      </c>
      <c r="R2" s="23" t="s">
        <v>52</v>
      </c>
      <c r="S2" s="23" t="s">
        <v>59</v>
      </c>
      <c r="T2" s="26" t="s">
        <v>68</v>
      </c>
    </row>
    <row r="3" spans="1:20" ht="105" x14ac:dyDescent="0.25">
      <c r="A3">
        <v>2</v>
      </c>
      <c r="B3" s="24" t="s">
        <v>12</v>
      </c>
      <c r="C3" s="24" t="s">
        <v>64</v>
      </c>
      <c r="D3" s="24" t="s">
        <v>62</v>
      </c>
      <c r="E3" s="23" t="s">
        <v>81</v>
      </c>
      <c r="F3" s="24" t="s">
        <v>83</v>
      </c>
      <c r="G3" s="39" t="s">
        <v>118</v>
      </c>
      <c r="H3" s="23" t="s">
        <v>14</v>
      </c>
      <c r="I3" s="24" t="s">
        <v>15</v>
      </c>
      <c r="J3" s="25" t="s">
        <v>70</v>
      </c>
      <c r="K3" s="16" t="s">
        <v>94</v>
      </c>
      <c r="L3" s="25" t="s">
        <v>72</v>
      </c>
      <c r="M3" s="23" t="s">
        <v>16</v>
      </c>
      <c r="N3" s="23" t="s">
        <v>82</v>
      </c>
      <c r="O3" s="23" t="s">
        <v>33</v>
      </c>
      <c r="P3" s="24" t="s">
        <v>31</v>
      </c>
      <c r="Q3" s="24" t="s">
        <v>32</v>
      </c>
      <c r="R3" s="23" t="s">
        <v>52</v>
      </c>
      <c r="S3" s="23" t="s">
        <v>59</v>
      </c>
      <c r="T3" s="26" t="s">
        <v>68</v>
      </c>
    </row>
    <row r="4" spans="1:20" ht="120" x14ac:dyDescent="0.25">
      <c r="A4">
        <v>3</v>
      </c>
      <c r="B4" s="24" t="s">
        <v>12</v>
      </c>
      <c r="C4" s="24" t="s">
        <v>64</v>
      </c>
      <c r="D4" s="24" t="s">
        <v>62</v>
      </c>
      <c r="E4" s="23" t="s">
        <v>81</v>
      </c>
      <c r="F4" s="24" t="s">
        <v>83</v>
      </c>
      <c r="G4" s="39" t="s">
        <v>118</v>
      </c>
      <c r="H4" s="23" t="s">
        <v>14</v>
      </c>
      <c r="I4" s="24" t="s">
        <v>15</v>
      </c>
      <c r="J4" s="25" t="s">
        <v>73</v>
      </c>
      <c r="K4" s="16" t="s">
        <v>94</v>
      </c>
      <c r="L4" s="25" t="s">
        <v>86</v>
      </c>
      <c r="M4" s="23" t="s">
        <v>16</v>
      </c>
      <c r="N4" s="23" t="s">
        <v>82</v>
      </c>
      <c r="O4" s="23" t="s">
        <v>33</v>
      </c>
      <c r="P4" s="24" t="s">
        <v>31</v>
      </c>
      <c r="Q4" s="24" t="s">
        <v>32</v>
      </c>
      <c r="R4" s="23" t="s">
        <v>52</v>
      </c>
      <c r="S4" s="23" t="s">
        <v>59</v>
      </c>
      <c r="T4" s="26" t="s">
        <v>68</v>
      </c>
    </row>
    <row r="5" spans="1:20" ht="90" x14ac:dyDescent="0.25">
      <c r="A5">
        <v>4</v>
      </c>
      <c r="B5" s="24" t="s">
        <v>12</v>
      </c>
      <c r="C5" s="24" t="s">
        <v>64</v>
      </c>
      <c r="D5" s="24" t="s">
        <v>62</v>
      </c>
      <c r="E5" s="23" t="s">
        <v>81</v>
      </c>
      <c r="F5" s="24" t="s">
        <v>83</v>
      </c>
      <c r="G5" s="39" t="s">
        <v>118</v>
      </c>
      <c r="H5" s="23" t="s">
        <v>14</v>
      </c>
      <c r="I5" s="24" t="s">
        <v>15</v>
      </c>
      <c r="J5" s="25" t="s">
        <v>89</v>
      </c>
      <c r="K5" s="16" t="s">
        <v>94</v>
      </c>
      <c r="L5" s="25" t="s">
        <v>90</v>
      </c>
      <c r="M5" s="23" t="s">
        <v>16</v>
      </c>
      <c r="N5" s="23" t="s">
        <v>82</v>
      </c>
      <c r="O5" s="23" t="s">
        <v>33</v>
      </c>
      <c r="P5" s="24" t="s">
        <v>31</v>
      </c>
      <c r="Q5" s="24" t="s">
        <v>32</v>
      </c>
      <c r="R5" s="23" t="s">
        <v>52</v>
      </c>
      <c r="S5" s="23" t="s">
        <v>59</v>
      </c>
      <c r="T5" s="26" t="s">
        <v>68</v>
      </c>
    </row>
    <row r="6" spans="1:20" ht="135" x14ac:dyDescent="0.25">
      <c r="A6">
        <v>5</v>
      </c>
      <c r="B6" s="24" t="s">
        <v>12</v>
      </c>
      <c r="C6" s="24" t="s">
        <v>64</v>
      </c>
      <c r="D6" s="24" t="s">
        <v>62</v>
      </c>
      <c r="E6" s="23" t="s">
        <v>81</v>
      </c>
      <c r="F6" s="24" t="s">
        <v>83</v>
      </c>
      <c r="G6" s="39" t="s">
        <v>118</v>
      </c>
      <c r="H6" s="23" t="s">
        <v>14</v>
      </c>
      <c r="I6" s="24" t="s">
        <v>15</v>
      </c>
      <c r="J6" s="25" t="s">
        <v>91</v>
      </c>
      <c r="K6" s="16" t="s">
        <v>94</v>
      </c>
      <c r="L6" s="25" t="s">
        <v>92</v>
      </c>
      <c r="M6" s="23" t="s">
        <v>16</v>
      </c>
      <c r="N6" s="23" t="s">
        <v>82</v>
      </c>
      <c r="O6" s="23" t="s">
        <v>33</v>
      </c>
      <c r="P6" s="24" t="s">
        <v>31</v>
      </c>
      <c r="Q6" s="24" t="s">
        <v>32</v>
      </c>
      <c r="R6" s="23" t="s">
        <v>5</v>
      </c>
      <c r="S6" s="23" t="s">
        <v>95</v>
      </c>
      <c r="T6" s="26" t="s">
        <v>68</v>
      </c>
    </row>
  </sheetData>
  <dataValidations count="1">
    <dataValidation type="list" allowBlank="1" showInputMessage="1" showErrorMessage="1" sqref="Q7:Q1048576 R1:R6" xr:uid="{00000000-0002-0000-0400-000000000000}">
      <formula1>"Y,N"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8"/>
  <sheetViews>
    <sheetView topLeftCell="D1" workbookViewId="0">
      <pane ySplit="1" topLeftCell="A5" activePane="bottomLeft" state="frozen"/>
      <selection pane="bottomLeft" activeCell="G8" sqref="G8"/>
    </sheetView>
  </sheetViews>
  <sheetFormatPr defaultRowHeight="15" x14ac:dyDescent="0.25"/>
  <cols>
    <col min="1" max="1" style="1" width="9.140625" collapsed="true"/>
    <col min="3" max="3" bestFit="true" customWidth="true" width="49.0" collapsed="true"/>
    <col min="4" max="4" bestFit="true" customWidth="true" width="33.0" collapsed="true"/>
    <col min="5" max="5" bestFit="true" customWidth="true" width="39.140625" collapsed="true"/>
    <col min="6" max="6" customWidth="true" width="24.5703125" collapsed="true"/>
    <col min="7" max="7" bestFit="true" customWidth="true" width="32.85546875" collapsed="true"/>
    <col min="8" max="8" bestFit="true" customWidth="true" width="6.7109375" collapsed="true"/>
    <col min="9" max="9" customWidth="true" width="14.0" collapsed="true"/>
    <col min="10" max="10" customWidth="true" width="130.0" collapsed="true"/>
    <col min="11" max="11" customWidth="true" width="18.0" collapsed="true"/>
    <col min="12" max="12" customWidth="true" style="12" width="29.28515625" collapsed="true"/>
    <col min="13" max="13" customWidth="true" width="166.7109375" collapsed="true"/>
    <col min="14" max="14" customWidth="true" width="15.28515625" collapsed="true"/>
    <col min="15" max="15" bestFit="true" customWidth="true" width="18.0" collapsed="true"/>
    <col min="16" max="16" bestFit="true" customWidth="true" width="28.7109375" collapsed="true"/>
    <col min="17" max="17" bestFit="true" customWidth="true" width="19.42578125" collapsed="true"/>
    <col min="18" max="18" bestFit="true" customWidth="true" width="14.140625" collapsed="true"/>
    <col min="19" max="19" style="10" width="9.140625" collapsed="true"/>
    <col min="20" max="20" bestFit="true" customWidth="true" style="12" width="7.28515625" collapsed="true"/>
    <col min="21" max="21" bestFit="true" customWidth="true" width="32.85546875" collapsed="true"/>
    <col min="27" max="27" customWidth="true" width="76.85546875" collapsed="true"/>
  </cols>
  <sheetData>
    <row r="1" spans="1:27" s="22" customFormat="1" x14ac:dyDescent="0.25">
      <c r="A1" s="20" t="s">
        <v>76</v>
      </c>
      <c r="B1" s="6" t="s">
        <v>6</v>
      </c>
      <c r="C1" s="6" t="s">
        <v>63</v>
      </c>
      <c r="D1" s="6" t="s">
        <v>9</v>
      </c>
      <c r="E1" s="6" t="s">
        <v>10</v>
      </c>
      <c r="F1" s="6" t="s">
        <v>53</v>
      </c>
      <c r="G1" s="6" t="s">
        <v>109</v>
      </c>
      <c r="H1" s="6" t="s">
        <v>7</v>
      </c>
      <c r="I1" s="6" t="s">
        <v>11</v>
      </c>
      <c r="J1" s="6" t="s">
        <v>65</v>
      </c>
      <c r="K1" s="6" t="s">
        <v>84</v>
      </c>
      <c r="L1" s="27" t="s">
        <v>93</v>
      </c>
      <c r="M1" s="6" t="s">
        <v>66</v>
      </c>
      <c r="N1" s="6" t="s">
        <v>18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</v>
      </c>
      <c r="T1" s="21" t="s">
        <v>4</v>
      </c>
      <c r="U1" s="6" t="s">
        <v>17</v>
      </c>
    </row>
    <row r="2" spans="1:27" ht="90" x14ac:dyDescent="0.25">
      <c r="A2" s="1">
        <v>1</v>
      </c>
      <c r="B2" s="24" t="s">
        <v>12</v>
      </c>
      <c r="C2" s="24" t="s">
        <v>64</v>
      </c>
      <c r="D2" s="24" t="s">
        <v>62</v>
      </c>
      <c r="E2" s="23" t="s">
        <v>81</v>
      </c>
      <c r="F2" s="24" t="s">
        <v>83</v>
      </c>
      <c r="G2" s="39" t="s">
        <v>118</v>
      </c>
      <c r="H2" s="23" t="s">
        <v>14</v>
      </c>
      <c r="I2" s="24" t="s">
        <v>15</v>
      </c>
      <c r="J2" s="25" t="s">
        <v>69</v>
      </c>
      <c r="K2" s="25" t="s">
        <v>85</v>
      </c>
      <c r="L2" s="16" t="s">
        <v>94</v>
      </c>
      <c r="M2" s="25" t="s">
        <v>71</v>
      </c>
      <c r="N2" s="23" t="s">
        <v>16</v>
      </c>
      <c r="O2" s="23" t="s">
        <v>82</v>
      </c>
      <c r="P2" s="23" t="s">
        <v>33</v>
      </c>
      <c r="Q2" s="24" t="s">
        <v>31</v>
      </c>
      <c r="R2" s="24" t="s">
        <v>32</v>
      </c>
      <c r="S2" s="23" t="s">
        <v>52</v>
      </c>
      <c r="T2" s="31" t="s">
        <v>59</v>
      </c>
      <c r="U2" s="26" t="s">
        <v>68</v>
      </c>
    </row>
    <row r="3" spans="1:27" ht="90" x14ac:dyDescent="0.25">
      <c r="A3" s="1">
        <v>2</v>
      </c>
      <c r="B3" s="24" t="s">
        <v>12</v>
      </c>
      <c r="C3" s="24" t="s">
        <v>64</v>
      </c>
      <c r="D3" s="24" t="s">
        <v>62</v>
      </c>
      <c r="E3" s="23" t="s">
        <v>81</v>
      </c>
      <c r="F3" s="24" t="s">
        <v>83</v>
      </c>
      <c r="G3" s="39" t="s">
        <v>118</v>
      </c>
      <c r="H3" s="23" t="s">
        <v>14</v>
      </c>
      <c r="I3" s="24" t="s">
        <v>15</v>
      </c>
      <c r="J3" s="25" t="s">
        <v>70</v>
      </c>
      <c r="K3" s="25" t="s">
        <v>85</v>
      </c>
      <c r="L3" s="16" t="s">
        <v>94</v>
      </c>
      <c r="M3" s="25" t="s">
        <v>72</v>
      </c>
      <c r="N3" s="23" t="s">
        <v>16</v>
      </c>
      <c r="O3" s="23" t="s">
        <v>82</v>
      </c>
      <c r="P3" s="23" t="s">
        <v>33</v>
      </c>
      <c r="Q3" s="24" t="s">
        <v>31</v>
      </c>
      <c r="R3" s="24" t="s">
        <v>32</v>
      </c>
      <c r="S3" s="23" t="s">
        <v>52</v>
      </c>
      <c r="T3" s="32" t="s">
        <v>59</v>
      </c>
      <c r="U3" s="26" t="s">
        <v>68</v>
      </c>
    </row>
    <row r="4" spans="1:27" ht="105" x14ac:dyDescent="0.25">
      <c r="A4" s="1">
        <v>3</v>
      </c>
      <c r="B4" s="24" t="s">
        <v>12</v>
      </c>
      <c r="C4" s="24" t="s">
        <v>64</v>
      </c>
      <c r="D4" s="24" t="s">
        <v>62</v>
      </c>
      <c r="E4" s="23" t="s">
        <v>81</v>
      </c>
      <c r="F4" s="24" t="s">
        <v>83</v>
      </c>
      <c r="G4" s="39" t="s">
        <v>118</v>
      </c>
      <c r="H4" s="23" t="s">
        <v>14</v>
      </c>
      <c r="I4" s="24" t="s">
        <v>15</v>
      </c>
      <c r="J4" s="25" t="s">
        <v>73</v>
      </c>
      <c r="K4" s="25" t="s">
        <v>85</v>
      </c>
      <c r="L4" s="16" t="s">
        <v>94</v>
      </c>
      <c r="M4" s="25" t="s">
        <v>86</v>
      </c>
      <c r="N4" s="23" t="s">
        <v>16</v>
      </c>
      <c r="O4" s="23" t="s">
        <v>82</v>
      </c>
      <c r="P4" s="23" t="s">
        <v>33</v>
      </c>
      <c r="Q4" s="24" t="s">
        <v>31</v>
      </c>
      <c r="R4" s="24" t="s">
        <v>32</v>
      </c>
      <c r="S4" s="23" t="s">
        <v>52</v>
      </c>
      <c r="T4" s="33" t="s">
        <v>59</v>
      </c>
      <c r="U4" s="26" t="s">
        <v>68</v>
      </c>
    </row>
    <row r="5" spans="1:27" ht="90" x14ac:dyDescent="0.25">
      <c r="A5" s="1">
        <v>4</v>
      </c>
      <c r="B5" s="24" t="s">
        <v>12</v>
      </c>
      <c r="C5" s="24" t="s">
        <v>64</v>
      </c>
      <c r="D5" s="24" t="s">
        <v>62</v>
      </c>
      <c r="E5" s="23" t="s">
        <v>81</v>
      </c>
      <c r="F5" s="24" t="s">
        <v>83</v>
      </c>
      <c r="G5" s="39" t="s">
        <v>118</v>
      </c>
      <c r="H5" s="23" t="s">
        <v>14</v>
      </c>
      <c r="I5" s="24" t="s">
        <v>15</v>
      </c>
      <c r="J5" s="25" t="s">
        <v>89</v>
      </c>
      <c r="K5" s="25" t="s">
        <v>85</v>
      </c>
      <c r="L5" s="16" t="s">
        <v>94</v>
      </c>
      <c r="M5" s="25" t="s">
        <v>90</v>
      </c>
      <c r="N5" s="23" t="s">
        <v>16</v>
      </c>
      <c r="O5" s="23" t="s">
        <v>82</v>
      </c>
      <c r="P5" s="23" t="s">
        <v>33</v>
      </c>
      <c r="Q5" s="24" t="s">
        <v>31</v>
      </c>
      <c r="R5" s="24" t="s">
        <v>32</v>
      </c>
      <c r="S5" s="23" t="s">
        <v>52</v>
      </c>
      <c r="T5" s="34" t="s">
        <v>59</v>
      </c>
      <c r="U5" s="26" t="s">
        <v>68</v>
      </c>
    </row>
    <row r="6" spans="1:27" ht="105" x14ac:dyDescent="0.25">
      <c r="A6" s="1">
        <v>5</v>
      </c>
      <c r="B6" s="24" t="s">
        <v>12</v>
      </c>
      <c r="C6" s="24" t="s">
        <v>64</v>
      </c>
      <c r="D6" s="24" t="s">
        <v>62</v>
      </c>
      <c r="E6" s="23" t="s">
        <v>81</v>
      </c>
      <c r="F6" s="24" t="s">
        <v>83</v>
      </c>
      <c r="G6" s="39" t="s">
        <v>118</v>
      </c>
      <c r="H6" s="23" t="s">
        <v>14</v>
      </c>
      <c r="I6" s="24" t="s">
        <v>15</v>
      </c>
      <c r="J6" s="25" t="s">
        <v>91</v>
      </c>
      <c r="K6" s="25" t="s">
        <v>85</v>
      </c>
      <c r="L6" s="16" t="s">
        <v>94</v>
      </c>
      <c r="M6" s="25" t="s">
        <v>106</v>
      </c>
      <c r="N6" s="23" t="s">
        <v>16</v>
      </c>
      <c r="O6" s="23" t="s">
        <v>82</v>
      </c>
      <c r="P6" s="23" t="s">
        <v>33</v>
      </c>
      <c r="Q6" s="24" t="s">
        <v>31</v>
      </c>
      <c r="R6" s="24" t="s">
        <v>32</v>
      </c>
      <c r="S6" s="23" t="s">
        <v>52</v>
      </c>
      <c r="T6" s="35" t="s">
        <v>59</v>
      </c>
      <c r="U6" s="26" t="s">
        <v>68</v>
      </c>
    </row>
    <row r="7" spans="1:27" x14ac:dyDescent="0.25">
      <c r="T7" s="36" t="s">
        <v>59</v>
      </c>
    </row>
    <row r="8" spans="1:27" ht="105" x14ac:dyDescent="0.25">
      <c r="A8" s="1">
        <v>1</v>
      </c>
      <c r="B8" s="24" t="s">
        <v>12</v>
      </c>
      <c r="C8" s="24" t="s">
        <v>64</v>
      </c>
      <c r="D8" s="24" t="s">
        <v>62</v>
      </c>
      <c r="E8" s="23" t="s">
        <v>81</v>
      </c>
      <c r="F8" s="24" t="s">
        <v>83</v>
      </c>
      <c r="G8" s="39" t="s">
        <v>118</v>
      </c>
      <c r="H8" s="23" t="s">
        <v>14</v>
      </c>
      <c r="I8" s="24" t="s">
        <v>15</v>
      </c>
      <c r="J8" s="25" t="s">
        <v>102</v>
      </c>
      <c r="K8" s="25" t="s">
        <v>85</v>
      </c>
      <c r="L8" s="16" t="s">
        <v>94</v>
      </c>
      <c r="M8" s="25" t="s">
        <v>107</v>
      </c>
      <c r="N8" s="23" t="s">
        <v>16</v>
      </c>
      <c r="O8" s="23" t="s">
        <v>82</v>
      </c>
      <c r="P8" s="23" t="s">
        <v>33</v>
      </c>
      <c r="Q8" s="24" t="s">
        <v>31</v>
      </c>
      <c r="R8" s="24" t="s">
        <v>32</v>
      </c>
      <c r="S8" s="23" t="s">
        <v>5</v>
      </c>
      <c r="T8" s="37" t="s">
        <v>95</v>
      </c>
      <c r="U8" s="26" t="s">
        <v>68</v>
      </c>
      <c r="AA8" s="25" t="s">
        <v>105</v>
      </c>
    </row>
  </sheetData>
  <dataValidations count="1">
    <dataValidation type="list" allowBlank="1" showInputMessage="1" showErrorMessage="1" sqref="S1:S1048576" xr:uid="{00000000-0002-0000-0500-000000000000}">
      <formula1>"Y,N"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"/>
  <sheetViews>
    <sheetView topLeftCell="E1" workbookViewId="0">
      <selection activeCell="J1" sqref="J1:J2"/>
    </sheetView>
  </sheetViews>
  <sheetFormatPr defaultRowHeight="15" x14ac:dyDescent="0.25"/>
  <cols>
    <col min="2" max="2" bestFit="true" customWidth="true" width="6.28515625" collapsed="true"/>
    <col min="3" max="3" bestFit="true" customWidth="true" width="17.42578125" collapsed="true"/>
    <col min="4" max="4" bestFit="true" customWidth="true" width="33.42578125" collapsed="true"/>
    <col min="5" max="5" bestFit="true" customWidth="true" width="39.140625" collapsed="true"/>
    <col min="6" max="6" bestFit="true" customWidth="true" width="15.28515625" collapsed="true"/>
    <col min="7" max="7" bestFit="true" customWidth="true" width="32.85546875" collapsed="true"/>
    <col min="8" max="8" bestFit="true" customWidth="true" width="21.140625" collapsed="true"/>
    <col min="9" max="9" bestFit="true" customWidth="true" width="21.42578125" collapsed="true"/>
    <col min="10" max="10" customWidth="true" width="21.42578125" collapsed="true"/>
    <col min="11" max="11" customWidth="true" width="133.42578125" collapsed="true"/>
    <col min="12" max="12" customWidth="true" width="29.28515625" collapsed="true"/>
    <col min="13" max="13" customWidth="true" width="15.28515625" collapsed="true"/>
    <col min="14" max="14" bestFit="true" customWidth="true" width="21.140625" collapsed="true"/>
    <col min="15" max="15" bestFit="true" customWidth="true" style="10" width="21.140625" collapsed="true"/>
    <col min="16" max="16" bestFit="true" customWidth="true" width="14.0" collapsed="true"/>
    <col min="18" max="18" bestFit="true" customWidth="true" width="7.28515625" collapsed="true"/>
    <col min="19" max="19" bestFit="true" customWidth="true" width="15.140625" collapsed="true"/>
  </cols>
  <sheetData>
    <row r="1" spans="1:19" x14ac:dyDescent="0.25">
      <c r="A1" s="15" t="s">
        <v>76</v>
      </c>
      <c r="B1" s="4" t="s">
        <v>6</v>
      </c>
      <c r="C1" s="4" t="s">
        <v>63</v>
      </c>
      <c r="D1" s="4" t="s">
        <v>9</v>
      </c>
      <c r="E1" s="4" t="s">
        <v>10</v>
      </c>
      <c r="F1" s="45" t="s">
        <v>53</v>
      </c>
      <c r="G1" s="6" t="s">
        <v>109</v>
      </c>
      <c r="H1" s="4" t="s">
        <v>7</v>
      </c>
      <c r="I1" s="4" t="s">
        <v>11</v>
      </c>
      <c r="J1" s="4" t="s">
        <v>120</v>
      </c>
      <c r="K1" s="6" t="s">
        <v>65</v>
      </c>
      <c r="L1" s="4" t="s">
        <v>93</v>
      </c>
      <c r="M1" s="4" t="s">
        <v>54</v>
      </c>
      <c r="N1" s="4" t="s">
        <v>55</v>
      </c>
      <c r="O1" s="4" t="s">
        <v>56</v>
      </c>
      <c r="P1" s="10" t="s">
        <v>18</v>
      </c>
      <c r="Q1" s="7" t="s">
        <v>3</v>
      </c>
      <c r="R1" s="2" t="s">
        <v>4</v>
      </c>
      <c r="S1" s="6" t="s">
        <v>17</v>
      </c>
    </row>
    <row r="2" spans="1:19" s="12" customFormat="1" ht="75" x14ac:dyDescent="0.25">
      <c r="A2" s="19">
        <v>1</v>
      </c>
      <c r="B2" s="16" t="s">
        <v>12</v>
      </c>
      <c r="C2" s="16" t="s">
        <v>115</v>
      </c>
      <c r="D2" s="16" t="s">
        <v>62</v>
      </c>
      <c r="E2" s="12" t="s">
        <v>81</v>
      </c>
      <c r="F2" s="46" t="s">
        <v>117</v>
      </c>
      <c r="G2" s="39" t="s">
        <v>118</v>
      </c>
      <c r="H2" s="12" t="s">
        <v>14</v>
      </c>
      <c r="I2" s="16" t="s">
        <v>15</v>
      </c>
      <c r="J2" s="16" t="s">
        <v>121</v>
      </c>
      <c r="K2" s="25" t="s">
        <v>116</v>
      </c>
      <c r="L2" s="16" t="s">
        <v>94</v>
      </c>
      <c r="M2" s="16" t="s">
        <v>57</v>
      </c>
      <c r="N2" s="16" t="s">
        <v>57</v>
      </c>
      <c r="O2" s="16" t="s">
        <v>58</v>
      </c>
      <c r="P2" s="30" t="s">
        <v>16</v>
      </c>
      <c r="Q2" s="29" t="s">
        <v>5</v>
      </c>
      <c r="R2" s="49" t="s">
        <v>95</v>
      </c>
    </row>
  </sheetData>
  <dataValidations count="1">
    <dataValidation type="list" allowBlank="1" showInputMessage="1" showErrorMessage="1" sqref="Q1:Q2 O3:O1048576" xr:uid="{00000000-0002-0000-0600-000000000000}">
      <formula1>"Y,N"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selection activeCell="A11" sqref="A11"/>
    </sheetView>
  </sheetViews>
  <sheetFormatPr defaultRowHeight="15" x14ac:dyDescent="0.25"/>
  <cols>
    <col min="1" max="1" customWidth="true" width="99.140625" collapsed="true"/>
    <col min="2" max="2" customWidth="true" width="72.7109375" collapsed="true"/>
  </cols>
  <sheetData>
    <row r="1" spans="1:2" x14ac:dyDescent="0.25">
      <c r="A1" s="4" t="s">
        <v>65</v>
      </c>
    </row>
    <row r="2" spans="1:2" ht="150" x14ac:dyDescent="0.25">
      <c r="A2" s="14" t="s">
        <v>67</v>
      </c>
    </row>
    <row r="7" spans="1:2" ht="105" x14ac:dyDescent="0.25">
      <c r="A7" s="16" t="s">
        <v>79</v>
      </c>
      <c r="B7" s="17" t="s">
        <v>80</v>
      </c>
    </row>
    <row r="11" spans="1:2" ht="105" x14ac:dyDescent="0.25">
      <c r="A11" s="25" t="s">
        <v>101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Cases</vt:lpstr>
      <vt:lpstr>Proposal_Won</vt:lpstr>
      <vt:lpstr>Proposal_Lost</vt:lpstr>
      <vt:lpstr>Proposal_RequoteWon</vt:lpstr>
      <vt:lpstr>Proposal_Won_Acetic_Acid</vt:lpstr>
      <vt:lpstr>Proposal_VerifyBillRate</vt:lpstr>
      <vt:lpstr>Create_WO_from_Proposal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2014-07-30T11:06:30Z</dcterms:created>
  <dc:creator>Pradeep</dc:creator>
  <lastModifiedBy>Singh, Pradeep</lastModifiedBy>
  <dcterms:modified xsi:type="dcterms:W3CDTF">2021-09-17T10:42:27Z</dcterms:modified>
</coreProperties>
</file>